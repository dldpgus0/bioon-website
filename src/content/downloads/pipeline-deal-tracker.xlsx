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ipeline" sheetId="2" state="visible" r:id="rId4"/>
    <sheet name="Competitors" sheetId="3" state="visible" r:id="rId5"/>
    <sheet name="Deals" sheetId="4" state="visible" r:id="rId6"/>
    <sheet name="Interview prep" sheetId="5" state="visible" r:id="rId7"/>
    <sheet name="Lists" sheetId="6" state="hidden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5" authorId="0">
      <text>
        <r>
          <rPr>
            <sz val="10"/>
            <rFont val="Arial"/>
            <family val="2"/>
          </rPr>
          <t xml:space="preserve">M&amp;A: whole price entered as upfront; no milestones reported in the source.</t>
        </r>
      </text>
    </comment>
  </commentList>
</comments>
</file>

<file path=xl/sharedStrings.xml><?xml version="1.0" encoding="utf-8"?>
<sst xmlns="http://schemas.openxmlformats.org/spreadsheetml/2006/main" count="177" uniqueCount="151">
  <si>
    <t xml:space="preserve">BIO:ON Pipeline &amp; Deal Tracker</t>
  </si>
  <si>
    <r>
      <rPr>
        <sz val="10"/>
        <color rgb="FF5B6B82"/>
        <rFont val="WenQuanYi Zen Hei"/>
        <family val="2"/>
      </rPr>
      <t xml:space="preserve">면접 전</t>
    </r>
    <r>
      <rPr>
        <sz val="10"/>
        <color rgb="FF5B6B82"/>
        <rFont val="Arial"/>
        <family val="0"/>
        <charset val="1"/>
      </rPr>
      <t xml:space="preserve">, </t>
    </r>
    <r>
      <rPr>
        <sz val="10"/>
        <color rgb="FF5B6B82"/>
        <rFont val="WenQuanYi Zen Hei"/>
        <family val="2"/>
      </rPr>
      <t xml:space="preserve">지원 회사의 파이프라인과 딜을 한 장에 정리하는 템플릿 </t>
    </r>
    <r>
      <rPr>
        <sz val="10"/>
        <color rgb="FF5B6B82"/>
        <rFont val="Arial"/>
        <family val="0"/>
        <charset val="1"/>
      </rPr>
      <t xml:space="preserve">/ Map a target company's pipeline and deals before an interview</t>
    </r>
  </si>
  <si>
    <r>
      <rPr>
        <b val="true"/>
        <sz val="10"/>
        <rFont val="WenQuanYi Zen Hei"/>
        <family val="2"/>
      </rPr>
      <t xml:space="preserve">범례 </t>
    </r>
    <r>
      <rPr>
        <b val="true"/>
        <sz val="10"/>
        <rFont val="Arial"/>
        <family val="0"/>
        <charset val="1"/>
      </rPr>
      <t xml:space="preserve">Legend</t>
    </r>
  </si>
  <si>
    <r>
      <rPr>
        <b val="true"/>
        <sz val="10"/>
        <rFont val="WenQuanYi Zen Hei"/>
        <family val="2"/>
      </rPr>
      <t xml:space="preserve">노란 칸 </t>
    </r>
    <r>
      <rPr>
        <b val="true"/>
        <sz val="10"/>
        <rFont val="Arial"/>
        <family val="0"/>
        <charset val="1"/>
      </rPr>
      <t xml:space="preserve">Yellow cells</t>
    </r>
  </si>
  <si>
    <r>
      <rPr>
        <sz val="10"/>
        <rFont val="WenQuanYi Zen Hei"/>
        <family val="2"/>
      </rPr>
      <t xml:space="preserve">직접 입력하는 칸이에요</t>
    </r>
    <r>
      <rPr>
        <sz val="10"/>
        <rFont val="Arial"/>
        <family val="0"/>
        <charset val="1"/>
      </rPr>
      <t xml:space="preserve">. / Cells you fill in.</t>
    </r>
  </si>
  <si>
    <r>
      <rPr>
        <b val="true"/>
        <sz val="10"/>
        <rFont val="WenQuanYi Zen Hei"/>
        <family val="2"/>
      </rPr>
      <t xml:space="preserve">파란 칸 </t>
    </r>
    <r>
      <rPr>
        <b val="true"/>
        <sz val="10"/>
        <rFont val="Arial"/>
        <family val="0"/>
        <charset val="1"/>
      </rPr>
      <t xml:space="preserve">Blue rows</t>
    </r>
  </si>
  <si>
    <r>
      <rPr>
        <sz val="10"/>
        <rFont val="WenQuanYi Zen Hei"/>
        <family val="2"/>
      </rPr>
      <t xml:space="preserve">검증된 공개 정보로 채운 예시 행이에요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형식을 참고한 뒤 지우세요</t>
    </r>
    <r>
      <rPr>
        <sz val="10"/>
        <rFont val="Arial"/>
        <family val="0"/>
        <charset val="1"/>
      </rPr>
      <t xml:space="preserve">. / Example rows built from public reports — use them as a format guide, then delete.</t>
    </r>
  </si>
  <si>
    <r>
      <rPr>
        <b val="true"/>
        <sz val="10"/>
        <color rgb="FF7A8699"/>
        <rFont val="WenQuanYi Zen Hei"/>
        <family val="2"/>
      </rPr>
      <t xml:space="preserve">회색 글씨 </t>
    </r>
    <r>
      <rPr>
        <b val="true"/>
        <sz val="10"/>
        <color rgb="FF7A8699"/>
        <rFont val="Arial"/>
        <family val="0"/>
        <charset val="1"/>
      </rPr>
      <t xml:space="preserve">Formula cells</t>
    </r>
  </si>
  <si>
    <r>
      <rPr>
        <sz val="10"/>
        <rFont val="WenQuanYi Zen Hei"/>
        <family val="2"/>
      </rPr>
      <t xml:space="preserve">수식이 자동 계산해요 </t>
    </r>
    <r>
      <rPr>
        <sz val="10"/>
        <rFont val="Arial"/>
        <family val="0"/>
        <charset val="1"/>
      </rPr>
      <t xml:space="preserve">(Deals </t>
    </r>
    <r>
      <rPr>
        <sz val="10"/>
        <rFont val="WenQuanYi Zen Hei"/>
        <family val="2"/>
      </rPr>
      <t xml:space="preserve">시트의 총액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확정 비율</t>
    </r>
    <r>
      <rPr>
        <sz val="10"/>
        <rFont val="Arial"/>
        <family val="0"/>
        <charset val="1"/>
      </rPr>
      <t xml:space="preserve">). / Calculated by formula (Deals: total and guaranteed share).</t>
    </r>
  </si>
  <si>
    <r>
      <rPr>
        <b val="true"/>
        <sz val="10"/>
        <rFont val="WenQuanYi Zen Hei"/>
        <family val="2"/>
      </rPr>
      <t xml:space="preserve">쓰는 순서 </t>
    </r>
    <r>
      <rPr>
        <b val="true"/>
        <sz val="10"/>
        <rFont val="Arial"/>
        <family val="0"/>
        <charset val="1"/>
      </rPr>
      <t xml:space="preserve">Steps</t>
    </r>
  </si>
  <si>
    <t xml:space="preserve">1</t>
  </si>
  <si>
    <r>
      <rPr>
        <sz val="10"/>
        <rFont val="Arial"/>
        <family val="0"/>
        <charset val="1"/>
      </rPr>
      <t xml:space="preserve">Pipeline </t>
    </r>
    <r>
      <rPr>
        <sz val="10"/>
        <rFont val="WenQuanYi Zen Hei"/>
        <family val="2"/>
      </rPr>
      <t xml:space="preserve">시트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지원 회사의 핵심 자산 </t>
    </r>
    <r>
      <rPr>
        <sz val="10"/>
        <rFont val="Arial"/>
        <family val="0"/>
        <charset val="1"/>
      </rPr>
      <t xml:space="preserve">3~5</t>
    </r>
    <r>
      <rPr>
        <sz val="10"/>
        <rFont val="WenQuanYi Zen Hei"/>
        <family val="2"/>
      </rPr>
      <t xml:space="preserve">개를 적어요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회사 </t>
    </r>
    <r>
      <rPr>
        <sz val="10"/>
        <rFont val="Arial"/>
        <family val="0"/>
        <charset val="1"/>
      </rPr>
      <t xml:space="preserve">IR </t>
    </r>
    <r>
      <rPr>
        <sz val="10"/>
        <rFont val="WenQuanYi Zen Hei"/>
        <family val="2"/>
      </rPr>
      <t xml:space="preserve">자료</t>
    </r>
    <r>
      <rPr>
        <sz val="10"/>
        <rFont val="Arial"/>
        <family val="0"/>
        <charset val="1"/>
      </rPr>
      <t xml:space="preserve">, ClinicalTrials.gov, </t>
    </r>
    <r>
      <rPr>
        <sz val="10"/>
        <rFont val="WenQuanYi Zen Hei"/>
        <family val="2"/>
      </rPr>
      <t xml:space="preserve">규제기관 발표로 확인하세요</t>
    </r>
    <r>
      <rPr>
        <sz val="10"/>
        <rFont val="Arial"/>
        <family val="0"/>
        <charset val="1"/>
      </rPr>
      <t xml:space="preserve">. / Pipeline: list 3–5 key assets from the company's investor materials, ClinicalTrials.gov and regulator announcements.</t>
    </r>
  </si>
  <si>
    <t xml:space="preserve">2</t>
  </si>
  <si>
    <r>
      <rPr>
        <sz val="10"/>
        <rFont val="Arial"/>
        <family val="0"/>
        <charset val="1"/>
      </rPr>
      <t xml:space="preserve">Competitors </t>
    </r>
    <r>
      <rPr>
        <sz val="10"/>
        <rFont val="WenQuanYi Zen Hei"/>
        <family val="2"/>
      </rPr>
      <t xml:space="preserve">시트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자산마다 같은 적응증의 경쟁 약물과 차별점을 적어요</t>
    </r>
    <r>
      <rPr>
        <sz val="10"/>
        <rFont val="Arial"/>
        <family val="0"/>
        <charset val="1"/>
      </rPr>
      <t xml:space="preserve">. / Competitors: for each asset, note rival drugs in the same indication and how it differs.</t>
    </r>
  </si>
  <si>
    <t xml:space="preserve">3</t>
  </si>
  <si>
    <r>
      <rPr>
        <sz val="10"/>
        <rFont val="Arial"/>
        <family val="0"/>
        <charset val="1"/>
      </rPr>
      <t xml:space="preserve">Deals </t>
    </r>
    <r>
      <rPr>
        <sz val="10"/>
        <rFont val="WenQuanYi Zen Hei"/>
        <family val="2"/>
      </rPr>
      <t xml:space="preserve">시트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최근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년의 기술 도입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인수합병을 적어요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계약금과 마일스톤을 따로 적으면 확정 비율이 계산돼요</t>
    </r>
    <r>
      <rPr>
        <sz val="10"/>
        <rFont val="Arial"/>
        <family val="0"/>
        <charset val="1"/>
      </rPr>
      <t xml:space="preserve">. / Deals: log licensing and M&amp;A from the last three years; entering upfront and milestones separately calculates the guaranteed share.</t>
    </r>
  </si>
  <si>
    <t xml:space="preserve">4</t>
  </si>
  <si>
    <r>
      <rPr>
        <sz val="10"/>
        <rFont val="Arial"/>
        <family val="0"/>
        <charset val="1"/>
      </rPr>
      <t xml:space="preserve">Interview prep </t>
    </r>
    <r>
      <rPr>
        <sz val="10"/>
        <rFont val="WenQuanYi Zen Hei"/>
        <family val="2"/>
      </rPr>
      <t xml:space="preserve">시트</t>
    </r>
    <r>
      <rPr>
        <sz val="10"/>
        <rFont val="Arial"/>
        <family val="0"/>
        <charset val="1"/>
      </rPr>
      <t xml:space="preserve">: '</t>
    </r>
    <r>
      <rPr>
        <sz val="10"/>
        <rFont val="WenQuanYi Zen Hei"/>
        <family val="2"/>
      </rPr>
      <t xml:space="preserve">우리 회사 파이프라인 중 아는 것</t>
    </r>
    <r>
      <rPr>
        <sz val="10"/>
        <rFont val="Arial"/>
        <family val="0"/>
        <charset val="1"/>
      </rPr>
      <t xml:space="preserve">?'</t>
    </r>
    <r>
      <rPr>
        <sz val="10"/>
        <rFont val="WenQuanYi Zen Hei"/>
        <family val="2"/>
      </rPr>
      <t xml:space="preserve">에 대한 답을 사실 → 해석 → 내 직무 순서로 써요</t>
    </r>
    <r>
      <rPr>
        <sz val="10"/>
        <rFont val="Arial"/>
        <family val="0"/>
        <charset val="1"/>
      </rPr>
      <t xml:space="preserve">. / Interview prep: answer 'What do you know about our pipeline?' as fact → interpretation → your role.</t>
    </r>
  </si>
  <si>
    <r>
      <rPr>
        <b val="true"/>
        <sz val="10"/>
        <rFont val="WenQuanYi Zen Hei"/>
        <family val="2"/>
      </rPr>
      <t xml:space="preserve">출처 규칙 </t>
    </r>
    <r>
      <rPr>
        <b val="true"/>
        <sz val="10"/>
        <rFont val="Arial"/>
        <family val="0"/>
        <charset val="1"/>
      </rPr>
      <t xml:space="preserve">Source rule</t>
    </r>
  </si>
  <si>
    <r>
      <rPr>
        <sz val="10"/>
        <rFont val="WenQuanYi Zen Hei"/>
        <family val="2"/>
      </rPr>
      <t xml:space="preserve">모든 행에 출처 </t>
    </r>
    <r>
      <rPr>
        <sz val="10"/>
        <rFont val="Arial"/>
        <family val="0"/>
        <charset val="1"/>
      </rPr>
      <t xml:space="preserve">URL</t>
    </r>
    <r>
      <rPr>
        <sz val="10"/>
        <rFont val="WenQuanYi Zen Hei"/>
        <family val="2"/>
      </rPr>
      <t xml:space="preserve">과 확인한 날짜를 적어요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면접에서 숫자를 물어보면 원문으로 답할 수 있어요</t>
    </r>
    <r>
      <rPr>
        <sz val="10"/>
        <rFont val="Arial"/>
        <family val="0"/>
        <charset val="1"/>
      </rPr>
      <t xml:space="preserve">. / Every row gets a source URL and the date you checked it, so you can back up any number in the interview.</t>
    </r>
  </si>
  <si>
    <r>
      <rPr>
        <b val="true"/>
        <sz val="10"/>
        <rFont val="WenQuanYi Zen Hei"/>
        <family val="2"/>
      </rPr>
      <t xml:space="preserve">어디서 찾나 </t>
    </r>
    <r>
      <rPr>
        <b val="true"/>
        <sz val="10"/>
        <rFont val="Arial"/>
        <family val="0"/>
        <charset val="1"/>
      </rPr>
      <t xml:space="preserve">Where to look</t>
    </r>
  </si>
  <si>
    <t xml:space="preserve">ClinicalTrials.gov</t>
  </si>
  <si>
    <t xml:space="preserve">https://clinicaltrials.gov/</t>
  </si>
  <si>
    <t xml:space="preserve">Drugs@FDA</t>
  </si>
  <si>
    <t xml:space="preserve">https://www.fda.gov/drugs/drug-approvals-and-databases/about-drugsfda</t>
  </si>
  <si>
    <r>
      <rPr>
        <b val="true"/>
        <sz val="10"/>
        <rFont val="WenQuanYi Zen Hei"/>
        <family val="2"/>
      </rPr>
      <t xml:space="preserve">의약품안전나라 </t>
    </r>
    <r>
      <rPr>
        <b val="true"/>
        <sz val="10"/>
        <rFont val="Arial"/>
        <family val="0"/>
        <charset val="1"/>
      </rPr>
      <t xml:space="preserve">(MFDS)</t>
    </r>
  </si>
  <si>
    <t xml:space="preserve">https://nedrug.mfds.go.kr/searchClinic</t>
  </si>
  <si>
    <t xml:space="preserve">EMA — medicines</t>
  </si>
  <si>
    <t xml:space="preserve">https://www.ema.europa.eu/en/glossary-terms/european-public-assessment-report</t>
  </si>
  <si>
    <r>
      <rPr>
        <b val="true"/>
        <sz val="10"/>
        <rFont val="WenQuanYi Zen Hei"/>
        <family val="2"/>
      </rPr>
      <t xml:space="preserve">회사 </t>
    </r>
    <r>
      <rPr>
        <b val="true"/>
        <sz val="10"/>
        <rFont val="Arial"/>
        <family val="0"/>
        <charset val="1"/>
      </rPr>
      <t xml:space="preserve">IR / Company IR</t>
    </r>
  </si>
  <si>
    <r>
      <rPr>
        <sz val="10"/>
        <rFont val="WenQuanYi Zen Hei"/>
        <family val="2"/>
      </rPr>
      <t xml:space="preserve">지원 회사 홈페이지의 </t>
    </r>
    <r>
      <rPr>
        <sz val="10"/>
        <rFont val="Arial"/>
        <family val="0"/>
        <charset val="1"/>
      </rPr>
      <t xml:space="preserve">Investors·Pipeline </t>
    </r>
    <r>
      <rPr>
        <sz val="10"/>
        <rFont val="WenQuanYi Zen Hei"/>
        <family val="2"/>
      </rPr>
      <t xml:space="preserve">페이지 </t>
    </r>
    <r>
      <rPr>
        <sz val="10"/>
        <rFont val="Arial"/>
        <family val="0"/>
        <charset val="1"/>
      </rPr>
      <t xml:space="preserve">/ The Investors and Pipeline pages on the company's website</t>
    </r>
  </si>
  <si>
    <r>
      <rPr>
        <b val="true"/>
        <sz val="10"/>
        <rFont val="WenQuanYi Zen Hei"/>
        <family val="2"/>
      </rPr>
      <t xml:space="preserve">만든 곳 </t>
    </r>
    <r>
      <rPr>
        <b val="true"/>
        <sz val="10"/>
        <rFont val="Arial"/>
        <family val="0"/>
        <charset val="1"/>
      </rPr>
      <t xml:space="preserve">Made by</t>
    </r>
  </si>
  <si>
    <r>
      <rPr>
        <sz val="10"/>
        <rFont val="Arial"/>
        <family val="0"/>
        <charset val="1"/>
      </rPr>
      <t xml:space="preserve">BIO:ON Insight · bioon-website.vercel.app — </t>
    </r>
    <r>
      <rPr>
        <sz val="10"/>
        <rFont val="WenQuanYi Zen Hei"/>
        <family val="2"/>
      </rPr>
      <t xml:space="preserve">예시 행 확인일 </t>
    </r>
    <r>
      <rPr>
        <sz val="10"/>
        <rFont val="Arial"/>
        <family val="0"/>
        <charset val="1"/>
      </rPr>
      <t xml:space="preserve">/ Example rows checked: 2026-09-28</t>
    </r>
  </si>
  <si>
    <r>
      <rPr>
        <b val="true"/>
        <sz val="14"/>
        <color rgb="FF132A4C"/>
        <rFont val="Arial"/>
        <family val="0"/>
        <charset val="1"/>
      </rPr>
      <t xml:space="preserve">Pipeline </t>
    </r>
    <r>
      <rPr>
        <b val="true"/>
        <sz val="14"/>
        <color rgb="FF132A4C"/>
        <rFont val="WenQuanYi Zen Hei"/>
        <family val="2"/>
      </rPr>
      <t xml:space="preserve">파이프라인</t>
    </r>
  </si>
  <si>
    <r>
      <rPr>
        <sz val="10"/>
        <color rgb="FF5B6B82"/>
        <rFont val="WenQuanYi Zen Hei"/>
        <family val="2"/>
      </rPr>
      <t xml:space="preserve">노란 칸에 입력하세요</t>
    </r>
    <r>
      <rPr>
        <sz val="10"/>
        <color rgb="FF5B6B82"/>
        <rFont val="Arial"/>
        <family val="0"/>
        <charset val="1"/>
      </rPr>
      <t xml:space="preserve">. </t>
    </r>
    <r>
      <rPr>
        <sz val="10"/>
        <color rgb="FF5B6B82"/>
        <rFont val="WenQuanYi Zen Hei"/>
        <family val="2"/>
      </rPr>
      <t xml:space="preserve">파란 행은 예시예요</t>
    </r>
    <r>
      <rPr>
        <sz val="10"/>
        <color rgb="FF5B6B82"/>
        <rFont val="Arial"/>
        <family val="0"/>
        <charset val="1"/>
      </rPr>
      <t xml:space="preserve">. / Fill the yellow cells; blue rows are examples.</t>
    </r>
  </si>
  <si>
    <r>
      <rPr>
        <b val="true"/>
        <sz val="10"/>
        <color rgb="FFFFFFFF"/>
        <rFont val="WenQuanYi Zen Hei"/>
        <family val="2"/>
      </rPr>
      <t xml:space="preserve">회사 </t>
    </r>
    <r>
      <rPr>
        <b val="true"/>
        <sz val="10"/>
        <color rgb="FFFFFFFF"/>
        <rFont val="Arial"/>
        <family val="0"/>
        <charset val="1"/>
      </rPr>
      <t xml:space="preserve">Company</t>
    </r>
  </si>
  <si>
    <r>
      <rPr>
        <b val="true"/>
        <sz val="10"/>
        <color rgb="FFFFFFFF"/>
        <rFont val="WenQuanYi Zen Hei"/>
        <family val="2"/>
      </rPr>
      <t xml:space="preserve">자산 </t>
    </r>
    <r>
      <rPr>
        <b val="true"/>
        <sz val="10"/>
        <color rgb="FFFFFFFF"/>
        <rFont val="Arial"/>
        <family val="0"/>
        <charset val="1"/>
      </rPr>
      <t xml:space="preserve">Asset</t>
    </r>
  </si>
  <si>
    <r>
      <rPr>
        <b val="true"/>
        <sz val="10"/>
        <color rgb="FFFFFFFF"/>
        <rFont val="WenQuanYi Zen Hei"/>
        <family val="2"/>
      </rPr>
      <t xml:space="preserve">모달리티 </t>
    </r>
    <r>
      <rPr>
        <b val="true"/>
        <sz val="10"/>
        <color rgb="FFFFFFFF"/>
        <rFont val="Arial"/>
        <family val="0"/>
        <charset val="1"/>
      </rPr>
      <t xml:space="preserve">Modality</t>
    </r>
  </si>
  <si>
    <r>
      <rPr>
        <b val="true"/>
        <sz val="10"/>
        <color rgb="FFFFFFFF"/>
        <rFont val="WenQuanYi Zen Hei"/>
        <family val="2"/>
      </rPr>
      <t xml:space="preserve">표적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기전 </t>
    </r>
    <r>
      <rPr>
        <b val="true"/>
        <sz val="10"/>
        <color rgb="FFFFFFFF"/>
        <rFont val="Arial"/>
        <family val="0"/>
        <charset val="1"/>
      </rPr>
      <t xml:space="preserve">Target / MoA</t>
    </r>
  </si>
  <si>
    <r>
      <rPr>
        <b val="true"/>
        <sz val="10"/>
        <color rgb="FFFFFFFF"/>
        <rFont val="WenQuanYi Zen Hei"/>
        <family val="2"/>
      </rPr>
      <t xml:space="preserve">적응증 </t>
    </r>
    <r>
      <rPr>
        <b val="true"/>
        <sz val="10"/>
        <color rgb="FFFFFFFF"/>
        <rFont val="Arial"/>
        <family val="0"/>
        <charset val="1"/>
      </rPr>
      <t xml:space="preserve">Indication</t>
    </r>
  </si>
  <si>
    <r>
      <rPr>
        <b val="true"/>
        <sz val="10"/>
        <color rgb="FFFFFFFF"/>
        <rFont val="WenQuanYi Zen Hei"/>
        <family val="2"/>
      </rPr>
      <t xml:space="preserve">개발 단계 </t>
    </r>
    <r>
      <rPr>
        <b val="true"/>
        <sz val="10"/>
        <color rgb="FFFFFFFF"/>
        <rFont val="Arial"/>
        <family val="0"/>
        <charset val="1"/>
      </rPr>
      <t xml:space="preserve">Stage</t>
    </r>
  </si>
  <si>
    <r>
      <rPr>
        <b val="true"/>
        <sz val="10"/>
        <color rgb="FFFFFFFF"/>
        <rFont val="WenQuanYi Zen Hei"/>
        <family val="2"/>
      </rPr>
      <t xml:space="preserve">다음 이정표 </t>
    </r>
    <r>
      <rPr>
        <b val="true"/>
        <sz val="10"/>
        <color rgb="FFFFFFFF"/>
        <rFont val="Arial"/>
        <family val="0"/>
        <charset val="1"/>
      </rPr>
      <t xml:space="preserve">Next milestone</t>
    </r>
  </si>
  <si>
    <r>
      <rPr>
        <b val="true"/>
        <sz val="10"/>
        <color rgb="FFFFFFFF"/>
        <rFont val="WenQuanYi Zen Hei"/>
        <family val="2"/>
      </rPr>
      <t xml:space="preserve">파트너 </t>
    </r>
    <r>
      <rPr>
        <b val="true"/>
        <sz val="10"/>
        <color rgb="FFFFFFFF"/>
        <rFont val="Arial"/>
        <family val="0"/>
        <charset val="1"/>
      </rPr>
      <t xml:space="preserve">Partner</t>
    </r>
  </si>
  <si>
    <r>
      <rPr>
        <b val="true"/>
        <sz val="10"/>
        <color rgb="FFFFFFFF"/>
        <rFont val="WenQuanYi Zen Hei"/>
        <family val="2"/>
      </rPr>
      <t xml:space="preserve">출처 </t>
    </r>
    <r>
      <rPr>
        <b val="true"/>
        <sz val="10"/>
        <color rgb="FFFFFFFF"/>
        <rFont val="Arial"/>
        <family val="0"/>
        <charset val="1"/>
      </rPr>
      <t xml:space="preserve">Source URL</t>
    </r>
  </si>
  <si>
    <r>
      <rPr>
        <b val="true"/>
        <sz val="10"/>
        <color rgb="FFFFFFFF"/>
        <rFont val="WenQuanYi Zen Hei"/>
        <family val="2"/>
      </rPr>
      <t xml:space="preserve">확인일 </t>
    </r>
    <r>
      <rPr>
        <b val="true"/>
        <sz val="10"/>
        <color rgb="FFFFFFFF"/>
        <rFont val="Arial"/>
        <family val="0"/>
        <charset val="1"/>
      </rPr>
      <t xml:space="preserve">Checked</t>
    </r>
  </si>
  <si>
    <t xml:space="preserve">Hanmi Pharmaceutical</t>
  </si>
  <si>
    <t xml:space="preserve">HM17321</t>
  </si>
  <si>
    <t xml:space="preserve">Peptide</t>
  </si>
  <si>
    <t xml:space="preserve">Long-acting urocortin-2 (UCN2) analog; non-incretin mechanism</t>
  </si>
  <si>
    <t xml:space="preserve">Obesity — weight loss while preserving lean mass</t>
  </si>
  <si>
    <t xml:space="preserve">Clinical stage (phase not disclosed)</t>
  </si>
  <si>
    <t xml:space="preserve">Licensed to Genentech (Roche) for development worldwide except South Korea</t>
  </si>
  <si>
    <t xml:space="preserve">Genentech (Roche)</t>
  </si>
  <si>
    <t xml:space="preserve">https://www.biospace.com/deals/roche-bets-up-to-2-3b-in-hanmi-pact-for-next-gen-weight-loss-drug</t>
  </si>
  <si>
    <t xml:space="preserve">2026-09-28</t>
  </si>
  <si>
    <t xml:space="preserve">Nuvalent (acquired by GSK)</t>
  </si>
  <si>
    <t xml:space="preserve">zidesamtinib</t>
  </si>
  <si>
    <t xml:space="preserve">Small molecule</t>
  </si>
  <si>
    <t xml:space="preserve">Next-generation ROS1 inhibitor</t>
  </si>
  <si>
    <t xml:space="preserve">ROS1-positive NSCLC after a prior ROS1 inhibitor</t>
  </si>
  <si>
    <t xml:space="preserve">Approved</t>
  </si>
  <si>
    <t xml:space="preserve">FDA approval July 2026</t>
  </si>
  <si>
    <t xml:space="preserve">GSK</t>
  </si>
  <si>
    <t xml:space="preserve">https://www.pharmtech.com/view/gsk-acquires-nuvalent-for-10-billion-in-lung-cancer-push</t>
  </si>
  <si>
    <t xml:space="preserve">neladalkib</t>
  </si>
  <si>
    <t xml:space="preserve">Next-generation ALK inhibitor</t>
  </si>
  <si>
    <t xml:space="preserve">ALK-positive NSCLC</t>
  </si>
  <si>
    <t xml:space="preserve">Filed / Under review</t>
  </si>
  <si>
    <t xml:space="preserve">FDA target decision date 27 Nov 2026</t>
  </si>
  <si>
    <t xml:space="preserve">https://www.gsk.com/en-gb/media/press-releases/gsk-enters-agreement-to-acquire-nuvalent-inc/</t>
  </si>
  <si>
    <r>
      <rPr>
        <b val="true"/>
        <sz val="14"/>
        <color rgb="FF132A4C"/>
        <rFont val="Arial"/>
        <family val="0"/>
        <charset val="1"/>
      </rPr>
      <t xml:space="preserve">Competitors </t>
    </r>
    <r>
      <rPr>
        <b val="true"/>
        <sz val="14"/>
        <color rgb="FF132A4C"/>
        <rFont val="WenQuanYi Zen Hei"/>
        <family val="2"/>
      </rPr>
      <t xml:space="preserve">경쟁 약물</t>
    </r>
  </si>
  <si>
    <r>
      <rPr>
        <sz val="10"/>
        <color rgb="FF5B6B82"/>
        <rFont val="WenQuanYi Zen Hei"/>
        <family val="2"/>
      </rPr>
      <t xml:space="preserve">자산마다 같은 적응증의 경쟁 약물과 차별점을 비교해요</t>
    </r>
    <r>
      <rPr>
        <sz val="10"/>
        <color rgb="FF5B6B82"/>
        <rFont val="Arial"/>
        <family val="0"/>
        <charset val="1"/>
      </rPr>
      <t xml:space="preserve">. / Compare each asset with rivals in the same indication.</t>
    </r>
  </si>
  <si>
    <r>
      <rPr>
        <b val="true"/>
        <sz val="10"/>
        <color rgb="FFFFFFFF"/>
        <rFont val="WenQuanYi Zen Hei"/>
        <family val="2"/>
      </rPr>
      <t xml:space="preserve">우리 자산 </t>
    </r>
    <r>
      <rPr>
        <b val="true"/>
        <sz val="10"/>
        <color rgb="FFFFFFFF"/>
        <rFont val="Arial"/>
        <family val="0"/>
        <charset val="1"/>
      </rPr>
      <t xml:space="preserve">Our asset</t>
    </r>
  </si>
  <si>
    <r>
      <rPr>
        <b val="true"/>
        <sz val="10"/>
        <color rgb="FFFFFFFF"/>
        <rFont val="WenQuanYi Zen Hei"/>
        <family val="2"/>
      </rPr>
      <t xml:space="preserve">경쟁 약물 </t>
    </r>
    <r>
      <rPr>
        <b val="true"/>
        <sz val="10"/>
        <color rgb="FFFFFFFF"/>
        <rFont val="Arial"/>
        <family val="0"/>
        <charset val="1"/>
      </rPr>
      <t xml:space="preserve">Competitor</t>
    </r>
  </si>
  <si>
    <r>
      <rPr>
        <b val="true"/>
        <sz val="10"/>
        <color rgb="FFFFFFFF"/>
        <rFont val="WenQuanYi Zen Hei"/>
        <family val="2"/>
      </rPr>
      <t xml:space="preserve">경쟁사 </t>
    </r>
    <r>
      <rPr>
        <b val="true"/>
        <sz val="10"/>
        <color rgb="FFFFFFFF"/>
        <rFont val="Arial"/>
        <family val="0"/>
        <charset val="1"/>
      </rPr>
      <t xml:space="preserve">Company</t>
    </r>
  </si>
  <si>
    <r>
      <rPr>
        <b val="true"/>
        <sz val="10"/>
        <color rgb="FFFFFFFF"/>
        <rFont val="WenQuanYi Zen Hei"/>
        <family val="2"/>
      </rPr>
      <t xml:space="preserve">경쟁 약물 단계 </t>
    </r>
    <r>
      <rPr>
        <b val="true"/>
        <sz val="10"/>
        <color rgb="FFFFFFFF"/>
        <rFont val="Arial"/>
        <family val="0"/>
        <charset val="1"/>
      </rPr>
      <t xml:space="preserve">Stage</t>
    </r>
  </si>
  <si>
    <r>
      <rPr>
        <b val="true"/>
        <sz val="10"/>
        <color rgb="FFFFFFFF"/>
        <rFont val="WenQuanYi Zen Hei"/>
        <family val="2"/>
      </rPr>
      <t xml:space="preserve">우리 자산의 차별점 </t>
    </r>
    <r>
      <rPr>
        <b val="true"/>
        <sz val="10"/>
        <color rgb="FFFFFFFF"/>
        <rFont val="Arial"/>
        <family val="0"/>
        <charset val="1"/>
      </rPr>
      <t xml:space="preserve">How ours differs</t>
    </r>
  </si>
  <si>
    <r>
      <rPr>
        <b val="true"/>
        <sz val="10"/>
        <color rgb="FFFFFFFF"/>
        <rFont val="WenQuanYi Zen Hei"/>
        <family val="2"/>
      </rPr>
      <t xml:space="preserve">약점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리스크 </t>
    </r>
    <r>
      <rPr>
        <b val="true"/>
        <sz val="10"/>
        <color rgb="FFFFFFFF"/>
        <rFont val="Arial"/>
        <family val="0"/>
        <charset val="1"/>
      </rPr>
      <t xml:space="preserve">Weakness / risk</t>
    </r>
  </si>
  <si>
    <t xml:space="preserve">GLP-1-based obesity drugs</t>
  </si>
  <si>
    <t xml:space="preserve">e.g. Novo Nordisk, Eli Lilly</t>
  </si>
  <si>
    <t xml:space="preserve">Aims to reduce fat while preserving lean mass, via a non-incretin (UCN2) mechanism</t>
  </si>
  <si>
    <t xml:space="preserve">Clinical data still early; efficacy vs approved drugs not yet shown</t>
  </si>
  <si>
    <t xml:space="preserve">https://www.biopharmadive.com/news/roche-lean-mass-preservation-hanmi-obesity-deal/828579/</t>
  </si>
  <si>
    <r>
      <rPr>
        <b val="true"/>
        <sz val="14"/>
        <color rgb="FF132A4C"/>
        <rFont val="Arial"/>
        <family val="0"/>
        <charset val="1"/>
      </rPr>
      <t xml:space="preserve">Deals </t>
    </r>
    <r>
      <rPr>
        <b val="true"/>
        <sz val="14"/>
        <color rgb="FF132A4C"/>
        <rFont val="WenQuanYi Zen Hei"/>
        <family val="2"/>
      </rPr>
      <t xml:space="preserve">딜 이력 </t>
    </r>
    <r>
      <rPr>
        <b val="true"/>
        <sz val="14"/>
        <color rgb="FF132A4C"/>
        <rFont val="Arial"/>
        <family val="0"/>
        <charset val="1"/>
      </rPr>
      <t xml:space="preserve">(</t>
    </r>
    <r>
      <rPr>
        <b val="true"/>
        <sz val="14"/>
        <color rgb="FF132A4C"/>
        <rFont val="WenQuanYi Zen Hei"/>
        <family val="2"/>
      </rPr>
      <t xml:space="preserve">최근 </t>
    </r>
    <r>
      <rPr>
        <b val="true"/>
        <sz val="14"/>
        <color rgb="FF132A4C"/>
        <rFont val="Arial"/>
        <family val="0"/>
        <charset val="1"/>
      </rPr>
      <t xml:space="preserve">3</t>
    </r>
    <r>
      <rPr>
        <b val="true"/>
        <sz val="14"/>
        <color rgb="FF132A4C"/>
        <rFont val="WenQuanYi Zen Hei"/>
        <family val="2"/>
      </rPr>
      <t xml:space="preserve">년</t>
    </r>
    <r>
      <rPr>
        <b val="true"/>
        <sz val="14"/>
        <color rgb="FF132A4C"/>
        <rFont val="Arial"/>
        <family val="0"/>
        <charset val="1"/>
      </rPr>
      <t xml:space="preserve">)</t>
    </r>
  </si>
  <si>
    <r>
      <rPr>
        <sz val="10"/>
        <color rgb="FF5B6B82"/>
        <rFont val="WenQuanYi Zen Hei"/>
        <family val="2"/>
      </rPr>
      <t xml:space="preserve">금액은 백만 달러</t>
    </r>
    <r>
      <rPr>
        <sz val="10"/>
        <color rgb="FF5B6B82"/>
        <rFont val="Arial"/>
        <family val="0"/>
        <charset val="1"/>
      </rPr>
      <t xml:space="preserve">($M). </t>
    </r>
    <r>
      <rPr>
        <sz val="10"/>
        <color rgb="FF5B6B82"/>
        <rFont val="WenQuanYi Zen Hei"/>
        <family val="2"/>
      </rPr>
      <t xml:space="preserve">계약금과 마일스톤을 따로 적으면 총액과 확정 비율이 계산돼요</t>
    </r>
    <r>
      <rPr>
        <sz val="10"/>
        <color rgb="FF5B6B82"/>
        <rFont val="Arial"/>
        <family val="0"/>
        <charset val="1"/>
      </rPr>
      <t xml:space="preserve">. / Amounts in $M; totals and guaranteed share are formulas.</t>
    </r>
  </si>
  <si>
    <r>
      <rPr>
        <b val="true"/>
        <sz val="10"/>
        <color rgb="FFFFFFFF"/>
        <rFont val="WenQuanYi Zen Hei"/>
        <family val="2"/>
      </rPr>
      <t xml:space="preserve">날짜 </t>
    </r>
    <r>
      <rPr>
        <b val="true"/>
        <sz val="10"/>
        <color rgb="FFFFFFFF"/>
        <rFont val="Arial"/>
        <family val="0"/>
        <charset val="1"/>
      </rPr>
      <t xml:space="preserve">Date</t>
    </r>
  </si>
  <si>
    <r>
      <rPr>
        <b val="true"/>
        <sz val="10"/>
        <color rgb="FFFFFFFF"/>
        <rFont val="WenQuanYi Zen Hei"/>
        <family val="2"/>
      </rPr>
      <t xml:space="preserve">유형 </t>
    </r>
    <r>
      <rPr>
        <b val="true"/>
        <sz val="10"/>
        <color rgb="FFFFFFFF"/>
        <rFont val="Arial"/>
        <family val="0"/>
        <charset val="1"/>
      </rPr>
      <t xml:space="preserve">Type</t>
    </r>
  </si>
  <si>
    <r>
      <rPr>
        <b val="true"/>
        <sz val="10"/>
        <color rgb="FFFFFFFF"/>
        <rFont val="WenQuanYi Zen Hei"/>
        <family val="2"/>
      </rPr>
      <t xml:space="preserve">도입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인수 측 </t>
    </r>
    <r>
      <rPr>
        <b val="true"/>
        <sz val="10"/>
        <color rgb="FFFFFFFF"/>
        <rFont val="Arial"/>
        <family val="0"/>
        <charset val="1"/>
      </rPr>
      <t xml:space="preserve">Buyer / licensee</t>
    </r>
  </si>
  <si>
    <r>
      <rPr>
        <b val="true"/>
        <sz val="10"/>
        <color rgb="FFFFFFFF"/>
        <rFont val="WenQuanYi Zen Hei"/>
        <family val="2"/>
      </rPr>
      <t xml:space="preserve">이전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피인수 측 </t>
    </r>
    <r>
      <rPr>
        <b val="true"/>
        <sz val="10"/>
        <color rgb="FFFFFFFF"/>
        <rFont val="Arial"/>
        <family val="0"/>
        <charset val="1"/>
      </rPr>
      <t xml:space="preserve">Seller / licensor</t>
    </r>
  </si>
  <si>
    <r>
      <rPr>
        <b val="true"/>
        <sz val="10"/>
        <color rgb="FFFFFFFF"/>
        <rFont val="WenQuanYi Zen Hei"/>
        <family val="2"/>
      </rPr>
      <t xml:space="preserve">자산 </t>
    </r>
    <r>
      <rPr>
        <b val="true"/>
        <sz val="10"/>
        <color rgb="FFFFFFFF"/>
        <rFont val="Arial"/>
        <family val="0"/>
        <charset val="1"/>
      </rPr>
      <t xml:space="preserve">Asset(s)</t>
    </r>
  </si>
  <si>
    <r>
      <rPr>
        <b val="true"/>
        <sz val="10"/>
        <color rgb="FFFFFFFF"/>
        <rFont val="WenQuanYi Zen Hei"/>
        <family val="2"/>
      </rPr>
      <t xml:space="preserve">계약금 </t>
    </r>
    <r>
      <rPr>
        <b val="true"/>
        <sz val="10"/>
        <color rgb="FFFFFFFF"/>
        <rFont val="Arial"/>
        <family val="0"/>
        <charset val="1"/>
      </rPr>
      <t xml:space="preserve">Upfront ($M)</t>
    </r>
  </si>
  <si>
    <r>
      <rPr>
        <b val="true"/>
        <sz val="10"/>
        <color rgb="FFFFFFFF"/>
        <rFont val="WenQuanYi Zen Hei"/>
        <family val="2"/>
      </rPr>
      <t xml:space="preserve">마일스톤 </t>
    </r>
    <r>
      <rPr>
        <b val="true"/>
        <sz val="10"/>
        <color rgb="FFFFFFFF"/>
        <rFont val="Arial"/>
        <family val="0"/>
        <charset val="1"/>
      </rPr>
      <t xml:space="preserve">Milestones ($M)</t>
    </r>
  </si>
  <si>
    <r>
      <rPr>
        <b val="true"/>
        <sz val="10"/>
        <color rgb="FFFFFFFF"/>
        <rFont val="WenQuanYi Zen Hei"/>
        <family val="2"/>
      </rPr>
      <t xml:space="preserve">총액 </t>
    </r>
    <r>
      <rPr>
        <b val="true"/>
        <sz val="10"/>
        <color rgb="FFFFFFFF"/>
        <rFont val="Arial"/>
        <family val="0"/>
        <charset val="1"/>
      </rPr>
      <t xml:space="preserve">Total ($M)</t>
    </r>
  </si>
  <si>
    <r>
      <rPr>
        <b val="true"/>
        <sz val="10"/>
        <color rgb="FFFFFFFF"/>
        <rFont val="WenQuanYi Zen Hei"/>
        <family val="2"/>
      </rPr>
      <t xml:space="preserve">확정 비율 </t>
    </r>
    <r>
      <rPr>
        <b val="true"/>
        <sz val="10"/>
        <color rgb="FFFFFFFF"/>
        <rFont val="Arial"/>
        <family val="0"/>
        <charset val="1"/>
      </rPr>
      <t xml:space="preserve">Guaranteed share</t>
    </r>
  </si>
  <si>
    <r>
      <rPr>
        <b val="true"/>
        <sz val="10"/>
        <color rgb="FFFFFFFF"/>
        <rFont val="WenQuanYi Zen Hei"/>
        <family val="2"/>
      </rPr>
      <t xml:space="preserve">로열티 </t>
    </r>
    <r>
      <rPr>
        <b val="true"/>
        <sz val="10"/>
        <color rgb="FFFFFFFF"/>
        <rFont val="Arial"/>
        <family val="0"/>
        <charset val="1"/>
      </rPr>
      <t xml:space="preserve">Royalties</t>
    </r>
  </si>
  <si>
    <r>
      <rPr>
        <b val="true"/>
        <sz val="10"/>
        <color rgb="FFFFFFFF"/>
        <rFont val="WenQuanYi Zen Hei"/>
        <family val="2"/>
      </rPr>
      <t xml:space="preserve">메모 </t>
    </r>
    <r>
      <rPr>
        <b val="true"/>
        <sz val="10"/>
        <color rgb="FFFFFFFF"/>
        <rFont val="Arial"/>
        <family val="0"/>
        <charset val="1"/>
      </rPr>
      <t xml:space="preserve">Notes</t>
    </r>
  </si>
  <si>
    <t xml:space="preserve">2026-06</t>
  </si>
  <si>
    <t xml:space="preserve">M&amp;A</t>
  </si>
  <si>
    <t xml:space="preserve">Nuvalent</t>
  </si>
  <si>
    <t xml:space="preserve">zidesamtinib, neladalkib, NVL-330</t>
  </si>
  <si>
    <t xml:space="preserve">n/a</t>
  </si>
  <si>
    <t xml:space="preserve">All-cash, about $124 per share</t>
  </si>
  <si>
    <t xml:space="preserve">2026-08</t>
  </si>
  <si>
    <t xml:space="preserve">License-out</t>
  </si>
  <si>
    <t xml:space="preserve">Yes (terms not disclosed)</t>
  </si>
  <si>
    <t xml:space="preserve">Worldwide rights except South Korea</t>
  </si>
  <si>
    <t xml:space="preserve">2026-09</t>
  </si>
  <si>
    <t xml:space="preserve">License-in</t>
  </si>
  <si>
    <t xml:space="preserve">Eli Lilly</t>
  </si>
  <si>
    <t xml:space="preserve">InnoCare</t>
  </si>
  <si>
    <t xml:space="preserve">Up to 5 undisclosed targets</t>
  </si>
  <si>
    <t xml:space="preserve">Tiered, single-digit</t>
  </si>
  <si>
    <t xml:space="preserve">https://www.fiercebiotech.com/biotech/eli-lilly-puts-100m-plus-billions-backend-form-5-target-deal-innocare</t>
  </si>
  <si>
    <t xml:space="preserve">Upfront column = upfront plus near-term payments</t>
  </si>
  <si>
    <r>
      <rPr>
        <b val="true"/>
        <sz val="14"/>
        <color rgb="FF132A4C"/>
        <rFont val="Arial"/>
        <family val="0"/>
        <charset val="1"/>
      </rPr>
      <t xml:space="preserve">Interview prep </t>
    </r>
    <r>
      <rPr>
        <b val="true"/>
        <sz val="14"/>
        <color rgb="FF132A4C"/>
        <rFont val="WenQuanYi Zen Hei"/>
        <family val="2"/>
      </rPr>
      <t xml:space="preserve">면접 답변 준비</t>
    </r>
  </si>
  <si>
    <r>
      <rPr>
        <sz val="10"/>
        <color rgb="FF5B6B82"/>
        <rFont val="Arial"/>
        <family val="0"/>
        <charset val="1"/>
      </rPr>
      <t xml:space="preserve">'</t>
    </r>
    <r>
      <rPr>
        <sz val="10"/>
        <color rgb="FF5B6B82"/>
        <rFont val="WenQuanYi Zen Hei"/>
        <family val="2"/>
      </rPr>
      <t xml:space="preserve">우리 회사 파이프라인 중 아는 것</t>
    </r>
    <r>
      <rPr>
        <sz val="10"/>
        <color rgb="FF5B6B82"/>
        <rFont val="Arial"/>
        <family val="0"/>
        <charset val="1"/>
      </rPr>
      <t xml:space="preserve">?'</t>
    </r>
    <r>
      <rPr>
        <sz val="10"/>
        <color rgb="FF5B6B82"/>
        <rFont val="WenQuanYi Zen Hei"/>
        <family val="2"/>
      </rPr>
      <t xml:space="preserve">에 사실 → 해석 → 내 직무로 답해요</t>
    </r>
    <r>
      <rPr>
        <sz val="10"/>
        <color rgb="FF5B6B82"/>
        <rFont val="Arial"/>
        <family val="0"/>
        <charset val="1"/>
      </rPr>
      <t xml:space="preserve">. / Answer as fact → interpretation → your role.</t>
    </r>
  </si>
  <si>
    <r>
      <rPr>
        <b val="true"/>
        <sz val="10"/>
        <color rgb="FFFFFFFF"/>
        <rFont val="WenQuanYi Zen Hei"/>
        <family val="2"/>
      </rPr>
      <t xml:space="preserve">질문 </t>
    </r>
    <r>
      <rPr>
        <b val="true"/>
        <sz val="10"/>
        <color rgb="FFFFFFFF"/>
        <rFont val="Arial"/>
        <family val="0"/>
        <charset val="1"/>
      </rPr>
      <t xml:space="preserve">Question</t>
    </r>
  </si>
  <si>
    <r>
      <rPr>
        <b val="true"/>
        <sz val="10"/>
        <color rgb="FFFFFFFF"/>
        <rFont val="WenQuanYi Zen Hei"/>
        <family val="2"/>
      </rPr>
      <t xml:space="preserve">사실 </t>
    </r>
    <r>
      <rPr>
        <b val="true"/>
        <sz val="10"/>
        <color rgb="FFFFFFFF"/>
        <rFont val="Arial"/>
        <family val="0"/>
        <charset val="1"/>
      </rPr>
      <t xml:space="preserve">Fact (</t>
    </r>
    <r>
      <rPr>
        <b val="true"/>
        <sz val="10"/>
        <color rgb="FFFFFFFF"/>
        <rFont val="WenQuanYi Zen Hei"/>
        <family val="2"/>
      </rPr>
      <t xml:space="preserve">숫자 하나 포함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</si>
  <si>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해석 </t>
    </r>
    <r>
      <rPr>
        <b val="true"/>
        <sz val="10"/>
        <color rgb="FFFFFFFF"/>
        <rFont val="Arial"/>
        <family val="0"/>
        <charset val="1"/>
      </rPr>
      <t xml:space="preserve">Interpretation (</t>
    </r>
    <r>
      <rPr>
        <b val="true"/>
        <sz val="10"/>
        <color rgb="FFFFFFFF"/>
        <rFont val="WenQuanYi Zen Hei"/>
        <family val="2"/>
      </rPr>
      <t xml:space="preserve">왜 중요한가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</si>
  <si>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내 직무 </t>
    </r>
    <r>
      <rPr>
        <b val="true"/>
        <sz val="10"/>
        <color rgb="FFFFFFFF"/>
        <rFont val="Arial"/>
        <family val="0"/>
        <charset val="1"/>
      </rPr>
      <t xml:space="preserve">Your role (</t>
    </r>
    <r>
      <rPr>
        <b val="true"/>
        <sz val="10"/>
        <color rgb="FFFFFFFF"/>
        <rFont val="WenQuanYi Zen Hei"/>
        <family val="2"/>
      </rPr>
      <t xml:space="preserve">내가 보탤 것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</si>
  <si>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근거 행 </t>
    </r>
    <r>
      <rPr>
        <b val="true"/>
        <sz val="10"/>
        <color rgb="FFFFFFFF"/>
        <rFont val="Arial"/>
        <family val="0"/>
        <charset val="1"/>
      </rPr>
      <t xml:space="preserve">Based on (sheet/row)</t>
    </r>
  </si>
  <si>
    <r>
      <rPr>
        <sz val="10"/>
        <rFont val="WenQuanYi Zen Hei"/>
        <family val="2"/>
      </rPr>
      <t xml:space="preserve">우리 회사 파이프라인 중 아는 것이 있나요</t>
    </r>
    <r>
      <rPr>
        <sz val="10"/>
        <rFont val="Arial"/>
        <family val="0"/>
        <charset val="1"/>
      </rPr>
      <t xml:space="preserve">? / What do you know about our pipeline?</t>
    </r>
  </si>
  <si>
    <r>
      <rPr>
        <sz val="10"/>
        <rFont val="WenQuanYi Zen Hei"/>
        <family val="2"/>
      </rPr>
      <t xml:space="preserve">한미약품의 </t>
    </r>
    <r>
      <rPr>
        <sz val="10"/>
        <rFont val="Arial"/>
        <family val="0"/>
        <charset val="1"/>
      </rPr>
      <t xml:space="preserve">HM17321</t>
    </r>
    <r>
      <rPr>
        <sz val="10"/>
        <rFont val="WenQuanYi Zen Hei"/>
        <family val="2"/>
      </rPr>
      <t xml:space="preserve">은 로슈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제넨텍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 계약금 </t>
    </r>
    <r>
      <rPr>
        <sz val="10"/>
        <rFont val="Arial"/>
        <family val="0"/>
        <charset val="1"/>
      </rPr>
      <t xml:space="preserve">1.9</t>
    </r>
    <r>
      <rPr>
        <sz val="10"/>
        <rFont val="WenQuanYi Zen Hei"/>
        <family val="2"/>
      </rPr>
      <t xml:space="preserve">억 달러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마일스톤 최대 </t>
    </r>
    <r>
      <rPr>
        <sz val="10"/>
        <rFont val="Arial"/>
        <family val="0"/>
        <charset val="1"/>
      </rPr>
      <t xml:space="preserve">23</t>
    </r>
    <r>
      <rPr>
        <sz val="10"/>
        <rFont val="WenQuanYi Zen Hei"/>
        <family val="2"/>
      </rPr>
      <t xml:space="preserve">억 달러로 이전됐습니다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</si>
  <si>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GLP-1</t>
    </r>
    <r>
      <rPr>
        <sz val="10"/>
        <rFont val="WenQuanYi Zen Hei"/>
        <family val="2"/>
      </rPr>
      <t xml:space="preserve">과 다른 기전으로 근육량을 지키며 감량하는 것을 목표로 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경쟁이 치열한 비만 시장에서 다른 축으로 차별화한 사례입니다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</si>
  <si>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BD</t>
    </r>
    <r>
      <rPr>
        <sz val="10"/>
        <rFont val="WenQuanYi Zen Hei"/>
        <family val="2"/>
      </rPr>
      <t xml:space="preserve">라면 이런 딜을 총액이 아니라 계약금 비중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약 </t>
    </r>
    <r>
      <rPr>
        <sz val="10"/>
        <rFont val="Arial"/>
        <family val="0"/>
        <charset val="1"/>
      </rPr>
      <t xml:space="preserve">8%)</t>
    </r>
    <r>
      <rPr>
        <sz val="10"/>
        <rFont val="WenQuanYi Zen Hei"/>
        <family val="2"/>
      </rPr>
      <t xml:space="preserve">과 개발 권한 범위로 평가하겠습니다</t>
    </r>
    <r>
      <rPr>
        <sz val="10"/>
        <rFont val="Arial"/>
        <family val="0"/>
        <charset val="1"/>
      </rPr>
      <t xml:space="preserve">.</t>
    </r>
  </si>
  <si>
    <t xml:space="preserve">Deals!6, Pipeline!5</t>
  </si>
  <si>
    <r>
      <rPr>
        <sz val="10"/>
        <rFont val="WenQuanYi Zen Hei"/>
        <family val="2"/>
      </rPr>
      <t xml:space="preserve">우리 제품의 경쟁 약물은 무엇이라고 보나요</t>
    </r>
    <r>
      <rPr>
        <sz val="10"/>
        <rFont val="Arial"/>
        <family val="0"/>
        <charset val="1"/>
      </rPr>
      <t xml:space="preserve">? / Who are our product's main competitors?</t>
    </r>
  </si>
  <si>
    <r>
      <rPr>
        <sz val="10"/>
        <rFont val="WenQuanYi Zen Hei"/>
        <family val="2"/>
      </rPr>
      <t xml:space="preserve">최근 우리 회사의 딜 중 인상 깊은 것은</t>
    </r>
    <r>
      <rPr>
        <sz val="10"/>
        <rFont val="Arial"/>
        <family val="0"/>
        <charset val="1"/>
      </rPr>
      <t xml:space="preserve">? / Which of our recent deals stood out to you?</t>
    </r>
  </si>
  <si>
    <r>
      <rPr>
        <sz val="10"/>
        <rFont val="WenQuanYi Zen Hei"/>
        <family val="2"/>
      </rPr>
      <t xml:space="preserve">우리 파이프라인의 가장 큰 리스크는</t>
    </r>
    <r>
      <rPr>
        <sz val="10"/>
        <rFont val="Arial"/>
        <family val="0"/>
        <charset val="1"/>
      </rPr>
      <t xml:space="preserve">? / What's the biggest risk in our pipeline?</t>
    </r>
  </si>
  <si>
    <r>
      <rPr>
        <sz val="10"/>
        <rFont val="WenQuanYi Zen Hei"/>
        <family val="2"/>
      </rPr>
      <t xml:space="preserve">입사하면 어떤 자산에 기여하고 싶나요</t>
    </r>
    <r>
      <rPr>
        <sz val="10"/>
        <rFont val="Arial"/>
        <family val="0"/>
        <charset val="1"/>
      </rPr>
      <t xml:space="preserve">? / Which asset would you most like to work on, and why?</t>
    </r>
  </si>
  <si>
    <t xml:space="preserve">Stage</t>
  </si>
  <si>
    <t xml:space="preserve">Modality</t>
  </si>
  <si>
    <t xml:space="preserve">Deal type</t>
  </si>
  <si>
    <t xml:space="preserve">Discovery</t>
  </si>
  <si>
    <t xml:space="preserve">Preclinical</t>
  </si>
  <si>
    <t xml:space="preserve">Antibody (mAb)</t>
  </si>
  <si>
    <t xml:space="preserve">Phase 1</t>
  </si>
  <si>
    <t xml:space="preserve">Bispecific antibody</t>
  </si>
  <si>
    <t xml:space="preserve">Phase 1/2</t>
  </si>
  <si>
    <t xml:space="preserve">ADC</t>
  </si>
  <si>
    <t xml:space="preserve">Co-development</t>
  </si>
  <si>
    <t xml:space="preserve">Phase 2</t>
  </si>
  <si>
    <t xml:space="preserve">Option</t>
  </si>
  <si>
    <t xml:space="preserve">Phase 3</t>
  </si>
  <si>
    <t xml:space="preserve">Cell therapy</t>
  </si>
  <si>
    <t xml:space="preserve">Research collaboration</t>
  </si>
  <si>
    <t xml:space="preserve">Gene therapy</t>
  </si>
  <si>
    <t xml:space="preserve">RNA (ASO/siRNA)</t>
  </si>
  <si>
    <t xml:space="preserve">mRNA</t>
  </si>
  <si>
    <t xml:space="preserve">Vaccine</t>
  </si>
  <si>
    <t xml:space="preserve">Other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</si>
</sst>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32A4C"/>
      <name val="Arial"/>
      <family val="0"/>
      <charset val="1"/>
    </font>
    <font>
      <sz val="10"/>
      <color rgb="FF5B6B82"/>
      <name val="WenQuanYi Zen Hei"/>
      <family val="2"/>
    </font>
    <font>
      <sz val="10"/>
      <color rgb="FF5B6B8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10"/>
      <name val="WenQuanYi Zen Hei"/>
      <family val="2"/>
    </font>
    <font>
      <b val="true"/>
      <sz val="10"/>
      <color rgb="FF7A8699"/>
      <name val="WenQuanYi Zen Hei"/>
      <family val="2"/>
    </font>
    <font>
      <b val="true"/>
      <sz val="10"/>
      <color rgb="FF7A8699"/>
      <name val="Arial"/>
      <family val="0"/>
      <charset val="1"/>
    </font>
    <font>
      <b val="true"/>
      <sz val="14"/>
      <color rgb="FF132A4C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color rgb="FF44546A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59D"/>
        <bgColor rgb="FFFFCC99"/>
      </patternFill>
    </fill>
    <fill>
      <patternFill patternType="solid">
        <fgColor rgb="FFEEF3F8"/>
        <bgColor rgb="FFFFFFFF"/>
      </patternFill>
    </fill>
    <fill>
      <patternFill patternType="solid">
        <fgColor rgb="FF132A4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8699"/>
      <rgbColor rgb="FF9999FF"/>
      <rgbColor rgb="FF993366"/>
      <rgbColor rgb="FFEEF3F8"/>
      <rgbColor rgb="FFCCFFFF"/>
      <rgbColor rgb="FF660066"/>
      <rgbColor rgb="FFFF8080"/>
      <rgbColor rgb="FF0066CC"/>
      <rgbColor rgb="FFC9D3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82"/>
      <rgbColor rgb="FF969696"/>
      <rgbColor rgb="FF132A4C"/>
      <rgbColor rgb="FF339966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4"/>
    </row>
    <row r="4" customFormat="false" ht="15" hidden="false" customHeight="false" outlineLevel="0" collapsed="false">
      <c r="A4" s="5" t="s">
        <v>2</v>
      </c>
      <c r="B4" s="4"/>
    </row>
    <row r="5" customFormat="false" ht="15" hidden="false" customHeight="false" outlineLevel="0" collapsed="false">
      <c r="A5" s="6" t="s">
        <v>3</v>
      </c>
      <c r="B5" s="7" t="s">
        <v>4</v>
      </c>
    </row>
    <row r="6" customFormat="false" ht="15" hidden="false" customHeight="false" outlineLevel="0" collapsed="false">
      <c r="A6" s="8" t="s">
        <v>5</v>
      </c>
      <c r="B6" s="7" t="s">
        <v>6</v>
      </c>
    </row>
    <row r="7" customFormat="false" ht="15" hidden="false" customHeight="false" outlineLevel="0" collapsed="false">
      <c r="A7" s="9" t="s">
        <v>7</v>
      </c>
      <c r="B7" s="7" t="s">
        <v>8</v>
      </c>
    </row>
    <row r="8" customFormat="false" ht="15" hidden="false" customHeight="false" outlineLevel="0" collapsed="false">
      <c r="A8" s="3"/>
      <c r="B8" s="4"/>
    </row>
    <row r="9" customFormat="false" ht="15" hidden="false" customHeight="false" outlineLevel="0" collapsed="false">
      <c r="A9" s="5" t="s">
        <v>9</v>
      </c>
      <c r="B9" s="4"/>
    </row>
    <row r="10" customFormat="false" ht="25.35" hidden="false" customHeight="false" outlineLevel="0" collapsed="false">
      <c r="A10" s="3" t="s">
        <v>10</v>
      </c>
      <c r="B10" s="4" t="s">
        <v>11</v>
      </c>
    </row>
    <row r="11" customFormat="false" ht="15" hidden="false" customHeight="false" outlineLevel="0" collapsed="false">
      <c r="A11" s="3" t="s">
        <v>12</v>
      </c>
      <c r="B11" s="4" t="s">
        <v>13</v>
      </c>
    </row>
    <row r="12" customFormat="false" ht="25.35" hidden="false" customHeight="false" outlineLevel="0" collapsed="false">
      <c r="A12" s="3" t="s">
        <v>14</v>
      </c>
      <c r="B12" s="4" t="s">
        <v>15</v>
      </c>
    </row>
    <row r="13" customFormat="false" ht="25.35" hidden="false" customHeight="false" outlineLevel="0" collapsed="false">
      <c r="A13" s="3" t="s">
        <v>16</v>
      </c>
      <c r="B13" s="4" t="s">
        <v>17</v>
      </c>
    </row>
    <row r="14" customFormat="false" ht="15" hidden="false" customHeight="false" outlineLevel="0" collapsed="false">
      <c r="A14" s="3"/>
      <c r="B14" s="4"/>
    </row>
    <row r="15" customFormat="false" ht="25.35" hidden="false" customHeight="false" outlineLevel="0" collapsed="false">
      <c r="A15" s="5" t="s">
        <v>18</v>
      </c>
      <c r="B15" s="7" t="s">
        <v>19</v>
      </c>
    </row>
    <row r="16" customFormat="false" ht="15" hidden="false" customHeight="false" outlineLevel="0" collapsed="false">
      <c r="A16" s="3"/>
      <c r="B16" s="4"/>
    </row>
    <row r="17" customFormat="false" ht="15" hidden="false" customHeight="false" outlineLevel="0" collapsed="false">
      <c r="A17" s="5" t="s">
        <v>20</v>
      </c>
      <c r="B17" s="4"/>
    </row>
    <row r="18" customFormat="false" ht="15" hidden="false" customHeight="false" outlineLevel="0" collapsed="false">
      <c r="A18" s="10" t="s">
        <v>21</v>
      </c>
      <c r="B18" s="4" t="s">
        <v>22</v>
      </c>
    </row>
    <row r="19" customFormat="false" ht="15" hidden="false" customHeight="false" outlineLevel="0" collapsed="false">
      <c r="A19" s="10" t="s">
        <v>23</v>
      </c>
      <c r="B19" s="4" t="s">
        <v>24</v>
      </c>
    </row>
    <row r="20" customFormat="false" ht="15" hidden="false" customHeight="false" outlineLevel="0" collapsed="false">
      <c r="A20" s="5" t="s">
        <v>25</v>
      </c>
      <c r="B20" s="4" t="s">
        <v>26</v>
      </c>
    </row>
    <row r="21" customFormat="false" ht="15" hidden="false" customHeight="false" outlineLevel="0" collapsed="false">
      <c r="A21" s="10" t="s">
        <v>27</v>
      </c>
      <c r="B21" s="4" t="s">
        <v>28</v>
      </c>
    </row>
    <row r="22" customFormat="false" ht="15" hidden="false" customHeight="false" outlineLevel="0" collapsed="false">
      <c r="A22" s="5" t="s">
        <v>29</v>
      </c>
      <c r="B22" s="7" t="s">
        <v>30</v>
      </c>
    </row>
    <row r="23" customFormat="false" ht="15" hidden="false" customHeight="false" outlineLevel="0" collapsed="false">
      <c r="A23" s="3"/>
      <c r="B23" s="4"/>
    </row>
    <row r="24" customFormat="false" ht="15" hidden="false" customHeight="false" outlineLevel="0" collapsed="false">
      <c r="A24" s="5" t="s">
        <v>31</v>
      </c>
      <c r="B24" s="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48"/>
    <col collapsed="false" customWidth="true" hidden="false" outlineLevel="0" max="10" min="10" style="0" width="12"/>
  </cols>
  <sheetData>
    <row r="1" customFormat="false" ht="19.4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31.5" hidden="false" customHeight="true" outlineLevel="0" collapsed="false">
      <c r="A4" s="11" t="s">
        <v>35</v>
      </c>
      <c r="B4" s="11" t="s">
        <v>36</v>
      </c>
      <c r="C4" s="11" t="s">
        <v>37</v>
      </c>
      <c r="D4" s="11" t="s">
        <v>38</v>
      </c>
      <c r="E4" s="11" t="s">
        <v>39</v>
      </c>
      <c r="F4" s="11" t="s">
        <v>40</v>
      </c>
      <c r="G4" s="11" t="s">
        <v>41</v>
      </c>
      <c r="H4" s="11" t="s">
        <v>42</v>
      </c>
      <c r="I4" s="11" t="s">
        <v>43</v>
      </c>
      <c r="J4" s="11" t="s">
        <v>44</v>
      </c>
    </row>
    <row r="5" customFormat="false" ht="35.05" hidden="false" customHeight="false" outlineLevel="0" collapsed="false">
      <c r="A5" s="12" t="s">
        <v>45</v>
      </c>
      <c r="B5" s="12" t="s">
        <v>46</v>
      </c>
      <c r="C5" s="12" t="s">
        <v>47</v>
      </c>
      <c r="D5" s="12" t="s">
        <v>48</v>
      </c>
      <c r="E5" s="12" t="s">
        <v>49</v>
      </c>
      <c r="F5" s="12" t="s">
        <v>50</v>
      </c>
      <c r="G5" s="12" t="s">
        <v>51</v>
      </c>
      <c r="H5" s="12" t="s">
        <v>52</v>
      </c>
      <c r="I5" s="12" t="s">
        <v>53</v>
      </c>
      <c r="J5" s="12" t="s">
        <v>54</v>
      </c>
    </row>
    <row r="6" customFormat="false" ht="23.85" hidden="false" customHeight="false" outlineLevel="0" collapsed="false">
      <c r="A6" s="12" t="s">
        <v>55</v>
      </c>
      <c r="B6" s="12" t="s">
        <v>56</v>
      </c>
      <c r="C6" s="12" t="s">
        <v>57</v>
      </c>
      <c r="D6" s="12" t="s">
        <v>58</v>
      </c>
      <c r="E6" s="12" t="s">
        <v>59</v>
      </c>
      <c r="F6" s="12" t="s">
        <v>60</v>
      </c>
      <c r="G6" s="12" t="s">
        <v>61</v>
      </c>
      <c r="H6" s="12" t="s">
        <v>62</v>
      </c>
      <c r="I6" s="12" t="s">
        <v>63</v>
      </c>
      <c r="J6" s="12" t="s">
        <v>54</v>
      </c>
    </row>
    <row r="7" customFormat="false" ht="23.85" hidden="false" customHeight="false" outlineLevel="0" collapsed="false">
      <c r="A7" s="12" t="s">
        <v>55</v>
      </c>
      <c r="B7" s="12" t="s">
        <v>64</v>
      </c>
      <c r="C7" s="12" t="s">
        <v>57</v>
      </c>
      <c r="D7" s="12" t="s">
        <v>65</v>
      </c>
      <c r="E7" s="12" t="s">
        <v>66</v>
      </c>
      <c r="F7" s="12" t="s">
        <v>67</v>
      </c>
      <c r="G7" s="12" t="s">
        <v>68</v>
      </c>
      <c r="H7" s="12" t="s">
        <v>62</v>
      </c>
      <c r="I7" s="12" t="s">
        <v>69</v>
      </c>
      <c r="J7" s="12" t="s">
        <v>54</v>
      </c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</row>
  </sheetData>
  <dataValidations count="2">
    <dataValidation allowBlank="true" errorStyle="stop" operator="between" showDropDown="false" showErrorMessage="false" showInputMessage="false" sqref="F5:F19" type="list">
      <formula1>Lists!$A$2:$A$10</formula1>
      <formula2>0</formula2>
    </dataValidation>
    <dataValidation allowBlank="true" errorStyle="stop" operator="between" showDropDown="false" showErrorMessage="false" showInputMessage="false" sqref="C5:C19" type="list">
      <formula1>Lists!$B$2:$B$12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20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48"/>
    <col collapsed="false" customWidth="true" hidden="false" outlineLevel="0" max="8" min="8" style="0" width="12"/>
  </cols>
  <sheetData>
    <row r="1" customFormat="false" ht="19.4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31.5" hidden="false" customHeight="true" outlineLevel="0" collapsed="false">
      <c r="A4" s="11" t="s">
        <v>72</v>
      </c>
      <c r="B4" s="11" t="s">
        <v>73</v>
      </c>
      <c r="C4" s="11" t="s">
        <v>74</v>
      </c>
      <c r="D4" s="11" t="s">
        <v>75</v>
      </c>
      <c r="E4" s="11" t="s">
        <v>76</v>
      </c>
      <c r="F4" s="11" t="s">
        <v>77</v>
      </c>
      <c r="G4" s="11" t="s">
        <v>43</v>
      </c>
      <c r="H4" s="11" t="s">
        <v>44</v>
      </c>
    </row>
    <row r="5" customFormat="false" ht="23.85" hidden="false" customHeight="false" outlineLevel="0" collapsed="false">
      <c r="A5" s="12" t="s">
        <v>46</v>
      </c>
      <c r="B5" s="12" t="s">
        <v>78</v>
      </c>
      <c r="C5" s="12" t="s">
        <v>79</v>
      </c>
      <c r="D5" s="12" t="s">
        <v>60</v>
      </c>
      <c r="E5" s="12" t="s">
        <v>80</v>
      </c>
      <c r="F5" s="12" t="s">
        <v>81</v>
      </c>
      <c r="G5" s="12" t="s">
        <v>82</v>
      </c>
      <c r="H5" s="12" t="s">
        <v>54</v>
      </c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</row>
  </sheetData>
  <dataValidations count="1">
    <dataValidation allowBlank="true" errorStyle="stop" operator="between" showDropDown="false" showErrorMessage="false" showInputMessage="false" sqref="D5:D17" type="list">
      <formula1>Lists!$A$2:$A$10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4" min="3" style="0" width="22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20"/>
    <col collapsed="false" customWidth="true" hidden="false" outlineLevel="0" max="11" min="11" style="0" width="48"/>
    <col collapsed="false" customWidth="true" hidden="false" outlineLevel="0" max="12" min="12" style="0" width="34"/>
  </cols>
  <sheetData>
    <row r="1" customFormat="false" ht="19.4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31.5" hidden="false" customHeight="true" outlineLevel="0" collapsed="false">
      <c r="A4" s="11" t="s">
        <v>85</v>
      </c>
      <c r="B4" s="11" t="s">
        <v>86</v>
      </c>
      <c r="C4" s="11" t="s">
        <v>87</v>
      </c>
      <c r="D4" s="11" t="s">
        <v>88</v>
      </c>
      <c r="E4" s="11" t="s">
        <v>89</v>
      </c>
      <c r="F4" s="11" t="s">
        <v>90</v>
      </c>
      <c r="G4" s="11" t="s">
        <v>91</v>
      </c>
      <c r="H4" s="11" t="s">
        <v>92</v>
      </c>
      <c r="I4" s="11" t="s">
        <v>93</v>
      </c>
      <c r="J4" s="11" t="s">
        <v>94</v>
      </c>
      <c r="K4" s="11" t="s">
        <v>43</v>
      </c>
      <c r="L4" s="11" t="s">
        <v>95</v>
      </c>
    </row>
    <row r="5" customFormat="false" ht="23.85" hidden="false" customHeight="false" outlineLevel="0" collapsed="false">
      <c r="A5" s="12" t="s">
        <v>96</v>
      </c>
      <c r="B5" s="12" t="s">
        <v>97</v>
      </c>
      <c r="C5" s="12" t="s">
        <v>62</v>
      </c>
      <c r="D5" s="12" t="s">
        <v>98</v>
      </c>
      <c r="E5" s="12" t="s">
        <v>99</v>
      </c>
      <c r="F5" s="14" t="n">
        <v>10600</v>
      </c>
      <c r="G5" s="14" t="n">
        <v>0</v>
      </c>
      <c r="H5" s="15" t="n">
        <f aca="false">IF(COUNT(F5:G5)=0,"",SUM(F5:G5))</f>
        <v>10600</v>
      </c>
      <c r="I5" s="16" t="n">
        <f aca="false">IFERROR(F5/H5,"")</f>
        <v>1</v>
      </c>
      <c r="J5" s="12" t="s">
        <v>100</v>
      </c>
      <c r="K5" s="12" t="s">
        <v>69</v>
      </c>
      <c r="L5" s="12" t="s">
        <v>101</v>
      </c>
    </row>
    <row r="6" customFormat="false" ht="23.85" hidden="false" customHeight="false" outlineLevel="0" collapsed="false">
      <c r="A6" s="12" t="s">
        <v>102</v>
      </c>
      <c r="B6" s="12" t="s">
        <v>103</v>
      </c>
      <c r="C6" s="12" t="s">
        <v>52</v>
      </c>
      <c r="D6" s="12" t="s">
        <v>45</v>
      </c>
      <c r="E6" s="12" t="s">
        <v>46</v>
      </c>
      <c r="F6" s="14" t="n">
        <v>190</v>
      </c>
      <c r="G6" s="14" t="n">
        <v>2300</v>
      </c>
      <c r="H6" s="15" t="n">
        <f aca="false">IF(COUNT(F6:G6)=0,"",SUM(F6:G6))</f>
        <v>2490</v>
      </c>
      <c r="I6" s="16" t="n">
        <f aca="false">IFERROR(F6/H6,"")</f>
        <v>0.0763052208835341</v>
      </c>
      <c r="J6" s="12" t="s">
        <v>104</v>
      </c>
      <c r="K6" s="12" t="s">
        <v>53</v>
      </c>
      <c r="L6" s="12" t="s">
        <v>105</v>
      </c>
    </row>
    <row r="7" customFormat="false" ht="23.85" hidden="false" customHeight="false" outlineLevel="0" collapsed="false">
      <c r="A7" s="12" t="s">
        <v>106</v>
      </c>
      <c r="B7" s="12" t="s">
        <v>107</v>
      </c>
      <c r="C7" s="12" t="s">
        <v>108</v>
      </c>
      <c r="D7" s="12" t="s">
        <v>109</v>
      </c>
      <c r="E7" s="12" t="s">
        <v>110</v>
      </c>
      <c r="F7" s="14" t="n">
        <v>100</v>
      </c>
      <c r="G7" s="14" t="n">
        <v>3250</v>
      </c>
      <c r="H7" s="15" t="n">
        <f aca="false">IF(COUNT(F7:G7)=0,"",SUM(F7:G7))</f>
        <v>3350</v>
      </c>
      <c r="I7" s="16" t="n">
        <f aca="false">IFERROR(F7/H7,"")</f>
        <v>0.0298507462686567</v>
      </c>
      <c r="J7" s="12" t="s">
        <v>111</v>
      </c>
      <c r="K7" s="12" t="s">
        <v>112</v>
      </c>
      <c r="L7" s="12" t="s">
        <v>113</v>
      </c>
    </row>
    <row r="8" customFormat="false" ht="15" hidden="false" customHeight="false" outlineLevel="0" collapsed="false">
      <c r="A8" s="13"/>
      <c r="B8" s="13"/>
      <c r="C8" s="13"/>
      <c r="D8" s="13"/>
      <c r="E8" s="13"/>
      <c r="F8" s="17"/>
      <c r="G8" s="17"/>
      <c r="H8" s="18" t="str">
        <f aca="false">IF(COUNT(F8:G8)=0,"",SUM(F8:G8))</f>
        <v/>
      </c>
      <c r="I8" s="19" t="str">
        <f aca="false">IFERROR(F8/H8,"")</f>
        <v/>
      </c>
      <c r="J8" s="13"/>
      <c r="K8" s="13"/>
      <c r="L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7"/>
      <c r="G9" s="17"/>
      <c r="H9" s="18" t="str">
        <f aca="false">IF(COUNT(F9:G9)=0,"",SUM(F9:G9))</f>
        <v/>
      </c>
      <c r="I9" s="19" t="str">
        <f aca="false">IFERROR(F9/H9,"")</f>
        <v/>
      </c>
      <c r="J9" s="13"/>
      <c r="K9" s="13"/>
      <c r="L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7"/>
      <c r="G10" s="17"/>
      <c r="H10" s="18" t="str">
        <f aca="false">IF(COUNT(F10:G10)=0,"",SUM(F10:G10))</f>
        <v/>
      </c>
      <c r="I10" s="19" t="str">
        <f aca="false">IFERROR(F10/H10,"")</f>
        <v/>
      </c>
      <c r="J10" s="13"/>
      <c r="K10" s="13"/>
      <c r="L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7"/>
      <c r="G11" s="17"/>
      <c r="H11" s="18" t="str">
        <f aca="false">IF(COUNT(F11:G11)=0,"",SUM(F11:G11))</f>
        <v/>
      </c>
      <c r="I11" s="19" t="str">
        <f aca="false">IFERROR(F11/H11,"")</f>
        <v/>
      </c>
      <c r="J11" s="13"/>
      <c r="K11" s="13"/>
      <c r="L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7"/>
      <c r="G12" s="17"/>
      <c r="H12" s="18" t="str">
        <f aca="false">IF(COUNT(F12:G12)=0,"",SUM(F12:G12))</f>
        <v/>
      </c>
      <c r="I12" s="19" t="str">
        <f aca="false">IFERROR(F12/H12,"")</f>
        <v/>
      </c>
      <c r="J12" s="13"/>
      <c r="K12" s="13"/>
      <c r="L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7"/>
      <c r="G13" s="17"/>
      <c r="H13" s="18" t="str">
        <f aca="false">IF(COUNT(F13:G13)=0,"",SUM(F13:G13))</f>
        <v/>
      </c>
      <c r="I13" s="19" t="str">
        <f aca="false">IFERROR(F13/H13,"")</f>
        <v/>
      </c>
      <c r="J13" s="13"/>
      <c r="K13" s="13"/>
      <c r="L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7"/>
      <c r="G14" s="17"/>
      <c r="H14" s="18" t="str">
        <f aca="false">IF(COUNT(F14:G14)=0,"",SUM(F14:G14))</f>
        <v/>
      </c>
      <c r="I14" s="19" t="str">
        <f aca="false">IFERROR(F14/H14,"")</f>
        <v/>
      </c>
      <c r="J14" s="13"/>
      <c r="K14" s="13"/>
      <c r="L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7"/>
      <c r="G15" s="17"/>
      <c r="H15" s="18" t="str">
        <f aca="false">IF(COUNT(F15:G15)=0,"",SUM(F15:G15))</f>
        <v/>
      </c>
      <c r="I15" s="19" t="str">
        <f aca="false">IFERROR(F15/H15,"")</f>
        <v/>
      </c>
      <c r="J15" s="13"/>
      <c r="K15" s="13"/>
      <c r="L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7"/>
      <c r="G16" s="17"/>
      <c r="H16" s="18" t="str">
        <f aca="false">IF(COUNT(F16:G16)=0,"",SUM(F16:G16))</f>
        <v/>
      </c>
      <c r="I16" s="19" t="str">
        <f aca="false">IFERROR(F16/H16,"")</f>
        <v/>
      </c>
      <c r="J16" s="13"/>
      <c r="K16" s="13"/>
      <c r="L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7"/>
      <c r="G17" s="17"/>
      <c r="H17" s="18" t="str">
        <f aca="false">IF(COUNT(F17:G17)=0,"",SUM(F17:G17))</f>
        <v/>
      </c>
      <c r="I17" s="19" t="str">
        <f aca="false">IFERROR(F17/H17,"")</f>
        <v/>
      </c>
      <c r="J17" s="13"/>
      <c r="K17" s="13"/>
      <c r="L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7"/>
      <c r="G18" s="17"/>
      <c r="H18" s="18" t="str">
        <f aca="false">IF(COUNT(F18:G18)=0,"",SUM(F18:G18))</f>
        <v/>
      </c>
      <c r="I18" s="19" t="str">
        <f aca="false">IFERROR(F18/H18,"")</f>
        <v/>
      </c>
      <c r="J18" s="13"/>
      <c r="K18" s="13"/>
      <c r="L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7"/>
      <c r="G19" s="17"/>
      <c r="H19" s="18" t="str">
        <f aca="false">IF(COUNT(F19:G19)=0,"",SUM(F19:G19))</f>
        <v/>
      </c>
      <c r="I19" s="19" t="str">
        <f aca="false">IFERROR(F19/H19,"")</f>
        <v/>
      </c>
      <c r="J19" s="13"/>
      <c r="K19" s="13"/>
      <c r="L19" s="13"/>
    </row>
  </sheetData>
  <dataValidations count="1">
    <dataValidation allowBlank="true" errorStyle="stop" operator="between" showDropDown="false" showErrorMessage="false" showInputMessage="false" sqref="B5:B19" type="list">
      <formula1>Lists!$C$2:$C$7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40"/>
    <col collapsed="false" customWidth="true" hidden="false" outlineLevel="0" max="5" min="5" style="0" width="20"/>
  </cols>
  <sheetData>
    <row r="1" customFormat="false" ht="19.4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0" t="s">
        <v>115</v>
      </c>
    </row>
    <row r="4" customFormat="false" ht="31.5" hidden="false" customHeight="true" outlineLevel="0" collapsed="false">
      <c r="A4" s="11" t="s">
        <v>116</v>
      </c>
      <c r="B4" s="11" t="s">
        <v>117</v>
      </c>
      <c r="C4" s="11" t="s">
        <v>118</v>
      </c>
      <c r="D4" s="11" t="s">
        <v>119</v>
      </c>
      <c r="E4" s="11" t="s">
        <v>120</v>
      </c>
    </row>
    <row r="5" customFormat="false" ht="90" hidden="false" customHeight="true" outlineLevel="0" collapsed="false">
      <c r="A5" s="21" t="s">
        <v>121</v>
      </c>
      <c r="B5" s="21" t="s">
        <v>122</v>
      </c>
      <c r="C5" s="12" t="s">
        <v>123</v>
      </c>
      <c r="D5" s="12" t="s">
        <v>124</v>
      </c>
      <c r="E5" s="12" t="s">
        <v>125</v>
      </c>
    </row>
    <row r="6" customFormat="false" ht="60" hidden="false" customHeight="true" outlineLevel="0" collapsed="false">
      <c r="A6" s="22" t="s">
        <v>121</v>
      </c>
      <c r="B6" s="13"/>
      <c r="C6" s="13"/>
      <c r="D6" s="13"/>
      <c r="E6" s="13"/>
    </row>
    <row r="7" customFormat="false" ht="60" hidden="false" customHeight="true" outlineLevel="0" collapsed="false">
      <c r="A7" s="22" t="s">
        <v>126</v>
      </c>
      <c r="B7" s="13"/>
      <c r="C7" s="13"/>
      <c r="D7" s="13"/>
      <c r="E7" s="13"/>
    </row>
    <row r="8" customFormat="false" ht="60" hidden="false" customHeight="true" outlineLevel="0" collapsed="false">
      <c r="A8" s="22" t="s">
        <v>127</v>
      </c>
      <c r="B8" s="13"/>
      <c r="C8" s="13"/>
      <c r="D8" s="13"/>
      <c r="E8" s="13"/>
    </row>
    <row r="9" customFormat="false" ht="60" hidden="false" customHeight="true" outlineLevel="0" collapsed="false">
      <c r="A9" s="22" t="s">
        <v>128</v>
      </c>
      <c r="B9" s="13"/>
      <c r="C9" s="13"/>
      <c r="D9" s="13"/>
      <c r="E9" s="13"/>
    </row>
    <row r="10" customFormat="false" ht="60" hidden="false" customHeight="true" outlineLevel="0" collapsed="false">
      <c r="A10" s="22" t="s">
        <v>129</v>
      </c>
      <c r="B10" s="13"/>
      <c r="C10" s="13"/>
      <c r="D10" s="13"/>
      <c r="E10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34"/>
  </cols>
  <sheetData>
    <row r="1" customFormat="false" ht="15" hidden="false" customHeight="false" outlineLevel="0" collapsed="false">
      <c r="A1" s="23" t="s">
        <v>130</v>
      </c>
      <c r="B1" s="23" t="s">
        <v>131</v>
      </c>
      <c r="C1" s="23" t="s">
        <v>132</v>
      </c>
    </row>
    <row r="2" customFormat="false" ht="15" hidden="false" customHeight="false" outlineLevel="0" collapsed="false">
      <c r="A2" s="24" t="s">
        <v>133</v>
      </c>
      <c r="B2" s="24" t="s">
        <v>57</v>
      </c>
      <c r="C2" s="24" t="s">
        <v>107</v>
      </c>
    </row>
    <row r="3" customFormat="false" ht="15" hidden="false" customHeight="false" outlineLevel="0" collapsed="false">
      <c r="A3" s="24" t="s">
        <v>134</v>
      </c>
      <c r="B3" s="24" t="s">
        <v>135</v>
      </c>
      <c r="C3" s="24" t="s">
        <v>103</v>
      </c>
    </row>
    <row r="4" customFormat="false" ht="15" hidden="false" customHeight="false" outlineLevel="0" collapsed="false">
      <c r="A4" s="24" t="s">
        <v>136</v>
      </c>
      <c r="B4" s="24" t="s">
        <v>137</v>
      </c>
      <c r="C4" s="24" t="s">
        <v>97</v>
      </c>
    </row>
    <row r="5" customFormat="false" ht="15" hidden="false" customHeight="false" outlineLevel="0" collapsed="false">
      <c r="A5" s="24" t="s">
        <v>138</v>
      </c>
      <c r="B5" s="24" t="s">
        <v>139</v>
      </c>
      <c r="C5" s="24" t="s">
        <v>140</v>
      </c>
    </row>
    <row r="6" customFormat="false" ht="15" hidden="false" customHeight="false" outlineLevel="0" collapsed="false">
      <c r="A6" s="24" t="s">
        <v>141</v>
      </c>
      <c r="B6" s="24" t="s">
        <v>47</v>
      </c>
      <c r="C6" s="24" t="s">
        <v>142</v>
      </c>
    </row>
    <row r="7" customFormat="false" ht="15" hidden="false" customHeight="false" outlineLevel="0" collapsed="false">
      <c r="A7" s="24" t="s">
        <v>143</v>
      </c>
      <c r="B7" s="24" t="s">
        <v>144</v>
      </c>
      <c r="C7" s="24" t="s">
        <v>145</v>
      </c>
    </row>
    <row r="8" customFormat="false" ht="15" hidden="false" customHeight="false" outlineLevel="0" collapsed="false">
      <c r="A8" s="24" t="s">
        <v>67</v>
      </c>
      <c r="B8" s="24" t="s">
        <v>146</v>
      </c>
    </row>
    <row r="9" customFormat="false" ht="15" hidden="false" customHeight="false" outlineLevel="0" collapsed="false">
      <c r="A9" s="24" t="s">
        <v>60</v>
      </c>
      <c r="B9" s="24" t="s">
        <v>147</v>
      </c>
    </row>
    <row r="10" customFormat="false" ht="15" hidden="false" customHeight="false" outlineLevel="0" collapsed="false">
      <c r="A10" s="24" t="s">
        <v>50</v>
      </c>
      <c r="B10" s="24" t="s">
        <v>148</v>
      </c>
    </row>
    <row r="11" customFormat="false" ht="15" hidden="false" customHeight="false" outlineLevel="0" collapsed="false">
      <c r="B11" s="24" t="s">
        <v>149</v>
      </c>
    </row>
    <row r="12" customFormat="false" ht="15" hidden="false" customHeight="false" outlineLevel="0" collapsed="false">
      <c r="B12" s="24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2026-09-27T23:58:35Z</dcterms:created>
  <dc:creator>openpyxl</dc:creator>
  <dc:description/>
  <dc:language>en-US</dc:language>
  <cp:lastModifiedBy/>
  <dcterms:modified xsi:type="dcterms:W3CDTF">2026-09-27T23:58:35Z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